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d38dd145427fc/Desktop/"/>
    </mc:Choice>
  </mc:AlternateContent>
  <xr:revisionPtr revIDLastSave="0" documentId="8_{A74293E1-7F08-4E74-AB11-E0C70E0E0AF8}" xr6:coauthVersionLast="47" xr6:coauthVersionMax="47" xr10:uidLastSave="{00000000-0000-0000-0000-000000000000}"/>
  <bookViews>
    <workbookView xWindow="-108" yWindow="-108" windowWidth="23256" windowHeight="12456" xr2:uid="{2963FB9D-FF6D-4FD0-8FB6-0EB9496FA0E7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D38" i="1" s="1"/>
  <c r="C39" i="1"/>
  <c r="D39" i="1" s="1"/>
  <c r="C40" i="1"/>
  <c r="D40" i="1" s="1"/>
  <c r="C41" i="1"/>
  <c r="D41" i="1" s="1"/>
  <c r="C36" i="1"/>
  <c r="D36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7" i="1"/>
  <c r="C33" i="1"/>
  <c r="C28" i="1"/>
  <c r="D28" i="1" s="1"/>
  <c r="D14" i="1"/>
  <c r="D20" i="1"/>
  <c r="D21" i="1" s="1"/>
  <c r="C25" i="1"/>
  <c r="D25" i="1" s="1"/>
  <c r="C26" i="1"/>
  <c r="D26" i="1" s="1"/>
  <c r="C27" i="1"/>
  <c r="D27" i="1" s="1"/>
  <c r="C24" i="1"/>
  <c r="D24" i="1" s="1"/>
  <c r="D42" i="1" l="1"/>
</calcChain>
</file>

<file path=xl/sharedStrings.xml><?xml version="1.0" encoding="utf-8"?>
<sst xmlns="http://schemas.openxmlformats.org/spreadsheetml/2006/main" count="69" uniqueCount="33">
  <si>
    <t>Por quantos anos?</t>
  </si>
  <si>
    <t>Taxa de rendimento mensal?</t>
  </si>
  <si>
    <t>INVESTIMENTO MENSAL</t>
  </si>
  <si>
    <t>Quanto investir por mês 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</si>
  <si>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</si>
  <si>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</si>
  <si>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</si>
  <si>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</si>
  <si>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</si>
  <si>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</si>
  <si>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</si>
  <si>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</si>
  <si>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CONFIGURAÇÕES</t>
  </si>
  <si>
    <t>Rendimento Carteira</t>
  </si>
  <si>
    <t>Salário</t>
  </si>
  <si>
    <r>
      <rPr>
        <b/>
        <sz val="14"/>
        <color theme="0"/>
        <rFont val="Aptos Narrow"/>
        <family val="2"/>
        <scheme val="minor"/>
      </rPr>
      <t>DIVIDENDO</t>
    </r>
    <r>
      <rPr>
        <b/>
        <sz val="14"/>
        <color theme="1"/>
        <rFont val="Aptos Narrow"/>
        <family val="2"/>
        <scheme val="minor"/>
      </rPr>
      <t xml:space="preserve"> </t>
    </r>
  </si>
  <si>
    <t>PERFIL</t>
  </si>
  <si>
    <t>AGRESSIVO</t>
  </si>
  <si>
    <t xml:space="preserve">VALOR A SER INVESTIDO POR MÊS </t>
  </si>
  <si>
    <t>TIPO DE FII</t>
  </si>
  <si>
    <t>Percentual Sugerido</t>
  </si>
  <si>
    <t>Valores</t>
  </si>
  <si>
    <t>PAPEL</t>
  </si>
  <si>
    <t>TIJOLO</t>
  </si>
  <si>
    <t>HIBRÍDOS</t>
  </si>
  <si>
    <t>FOFs</t>
  </si>
  <si>
    <t>DESENVOLVIMENTO</t>
  </si>
  <si>
    <t>HOTELARIAS</t>
  </si>
  <si>
    <t>CONSERVADOR</t>
  </si>
  <si>
    <t>%</t>
  </si>
  <si>
    <t>CHAVE</t>
  </si>
  <si>
    <t>MODERADO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</si>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</sst>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6" fillId="4" borderId="2" xfId="0" applyFont="1" applyFill="1" applyBorder="1" applyAlignment="1">
      <alignment vertical="center"/>
    </xf>
    <xf numFmtId="164" fontId="0" fillId="3" borderId="21" xfId="1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8" fontId="10" fillId="5" borderId="16" xfId="1" applyNumberFormat="1" applyFont="1" applyFill="1" applyBorder="1" applyAlignment="1">
      <alignment horizontal="center"/>
    </xf>
    <xf numFmtId="10" fontId="10" fillId="5" borderId="18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164" fontId="3" fillId="0" borderId="24" xfId="1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8" fontId="3" fillId="6" borderId="18" xfId="0" applyNumberFormat="1" applyFont="1" applyFill="1" applyBorder="1" applyAlignment="1">
      <alignment horizontal="center"/>
    </xf>
    <xf numFmtId="8" fontId="3" fillId="6" borderId="21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left" indent="3"/>
    </xf>
    <xf numFmtId="8" fontId="0" fillId="3" borderId="4" xfId="0" applyNumberFormat="1" applyFill="1" applyBorder="1" applyAlignment="1">
      <alignment horizontal="center"/>
    </xf>
    <xf numFmtId="8" fontId="0" fillId="3" borderId="9" xfId="0" applyNumberFormat="1" applyFill="1" applyBorder="1" applyAlignment="1">
      <alignment horizontal="center"/>
    </xf>
    <xf numFmtId="0" fontId="5" fillId="3" borderId="10" xfId="0" applyFont="1" applyFill="1" applyBorder="1" applyAlignment="1">
      <alignment horizontal="left" indent="3"/>
    </xf>
    <xf numFmtId="8" fontId="0" fillId="3" borderId="5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0" fontId="5" fillId="3" borderId="12" xfId="0" applyFont="1" applyFill="1" applyBorder="1" applyAlignment="1">
      <alignment horizontal="left" indent="3"/>
    </xf>
    <xf numFmtId="8" fontId="0" fillId="3" borderId="13" xfId="0" applyNumberFormat="1" applyFill="1" applyBorder="1" applyAlignment="1">
      <alignment horizontal="center"/>
    </xf>
    <xf numFmtId="8" fontId="0" fillId="3" borderId="14" xfId="0" applyNumberFormat="1" applyFill="1" applyBorder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0" fillId="6" borderId="0" xfId="0" applyFill="1" applyAlignment="1">
      <alignment horizontal="center"/>
    </xf>
    <xf numFmtId="0" fontId="3" fillId="8" borderId="0" xfId="0" applyFont="1" applyFill="1"/>
    <xf numFmtId="164" fontId="0" fillId="8" borderId="0" xfId="0" applyNumberFormat="1" applyFill="1" applyAlignment="1">
      <alignment horizontal="center"/>
    </xf>
    <xf numFmtId="0" fontId="0" fillId="8" borderId="0" xfId="0" applyFill="1"/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left" indent="3"/>
    </xf>
    <xf numFmtId="0" fontId="5" fillId="3" borderId="23" xfId="0" applyFont="1" applyFill="1" applyBorder="1" applyAlignment="1">
      <alignment horizontal="left" indent="3"/>
    </xf>
    <xf numFmtId="0" fontId="5" fillId="3" borderId="17" xfId="0" applyFont="1" applyFill="1" applyBorder="1" applyAlignment="1">
      <alignment horizontal="left" indent="3"/>
    </xf>
    <xf numFmtId="0" fontId="5" fillId="3" borderId="7" xfId="0" applyFont="1" applyFill="1" applyBorder="1" applyAlignment="1">
      <alignment horizontal="left" indent="3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19" xfId="0" applyFont="1" applyFill="1" applyBorder="1" applyAlignment="1">
      <alignment horizontal="left" indent="3"/>
    </xf>
    <xf numFmtId="0" fontId="7" fillId="6" borderId="20" xfId="0" applyFont="1" applyFill="1" applyBorder="1" applyAlignment="1">
      <alignment horizontal="left" indent="3"/>
    </xf>
    <xf numFmtId="0" fontId="6" fillId="2" borderId="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indent="3"/>
    </xf>
    <xf numFmtId="0" fontId="5" fillId="3" borderId="6" xfId="0" applyFont="1" applyFill="1" applyBorder="1" applyAlignment="1">
      <alignment horizontal="left" indent="3"/>
    </xf>
    <xf numFmtId="0" fontId="0" fillId="3" borderId="17" xfId="0" applyFill="1" applyBorder="1" applyAlignment="1">
      <alignment horizontal="left" indent="3"/>
    </xf>
    <xf numFmtId="0" fontId="0" fillId="3" borderId="7" xfId="0" applyFill="1" applyBorder="1" applyAlignment="1">
      <alignment horizontal="left" indent="3"/>
    </xf>
    <xf numFmtId="0" fontId="0" fillId="3" borderId="19" xfId="0" applyFill="1" applyBorder="1" applyAlignment="1">
      <alignment horizontal="left" indent="3"/>
    </xf>
    <xf numFmtId="0" fontId="0" fillId="3" borderId="20" xfId="0" applyFill="1" applyBorder="1" applyAlignment="1">
      <alignment horizontal="left" indent="3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4E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68-4443-A71E-DE3327B869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68-4443-A71E-DE3327B8698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68-4443-A71E-DE3327B8698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68-4443-A71E-DE3327B8698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68-4443-A71E-DE3327B8698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68-4443-A71E-DE3327B869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8-4443-A71E-DE3327B869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0</xdr:row>
      <xdr:rowOff>131445</xdr:rowOff>
    </xdr:from>
    <xdr:to>
      <xdr:col>4</xdr:col>
      <xdr:colOff>1905</xdr:colOff>
      <xdr:row>8</xdr:row>
      <xdr:rowOff>135255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AEF21F-F037-6D35-A3D4-924EDFD3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139065"/>
          <a:ext cx="6467475" cy="1449705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46</xdr:row>
      <xdr:rowOff>0</xdr:rowOff>
    </xdr:from>
    <xdr:to>
      <xdr:col>3</xdr:col>
      <xdr:colOff>1000125</xdr:colOff>
      <xdr:row>72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0B2124-C8AC-57D3-D415-930ED18D7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8768-B8B6-40DC-9A1D-E9E10C337BC6}">
  <dimension ref="A10:XFB84"/>
  <sheetViews>
    <sheetView showGridLines="0" tabSelected="1" topLeftCell="A13" workbookViewId="0">
      <selection activeCell="A38" sqref="A38"/>
    </sheetView>
  </sheetViews>
  <sheetFormatPr defaultColWidth="0" defaultRowHeight="14.4" x14ac:dyDescent="0.3"/>
  <cols>
    <col min="1" max="1" width="6.5546875" customWidth="1"/>
    <col min="2" max="2" width="46.6640625" customWidth="1"/>
    <col min="3" max="3" width="32.109375" bestFit="1" customWidth="1"/>
    <col min="4" max="4" width="15.33203125" customWidth="1"/>
    <col min="5" max="5" width="3.77734375" customWidth="1"/>
    <col min="6" max="6" width="9.5546875" customWidth="1"/>
    <col min="7" max="8" width="4.88671875" hidden="1" customWidth="1"/>
    <col min="9" max="12" width="8.88671875" hidden="1" customWidth="1"/>
    <col min="13" max="16382" width="8.88671875" hidden="1"/>
    <col min="16383" max="16383" width="0.6640625" customWidth="1"/>
    <col min="16384" max="16384" width="0.21875" customWidth="1"/>
  </cols>
  <sheetData>
    <row r="10" spans="2:4" ht="12" customHeight="1" thickBot="1" x14ac:dyDescent="0.35"/>
    <row r="11" spans="2:4" ht="24" customHeight="1" x14ac:dyDescent="0.3">
      <c r="B11" s="36" t="s">
        <v>12</v>
      </c>
      <c r="C11" s="37"/>
      <c r="D11" s="5"/>
    </row>
    <row r="12" spans="2:4" ht="20.399999999999999" customHeight="1" x14ac:dyDescent="0.3">
      <c r="B12" s="49" t="s">
        <v>14</v>
      </c>
      <c r="C12" s="50"/>
      <c r="D12" s="8">
        <v>5000</v>
      </c>
    </row>
    <row r="13" spans="2:4" ht="20.399999999999999" customHeight="1" x14ac:dyDescent="0.3">
      <c r="B13" s="51" t="s">
        <v>13</v>
      </c>
      <c r="C13" s="52"/>
      <c r="D13" s="9">
        <v>6.0000000000000001E-3</v>
      </c>
    </row>
    <row r="14" spans="2:4" ht="20.399999999999999" customHeight="1" thickBot="1" x14ac:dyDescent="0.35">
      <c r="B14" s="53" t="s">
        <v>32</v>
      </c>
      <c r="C14" s="54"/>
      <c r="D14" s="6">
        <f>salario*30%</f>
        <v>1500</v>
      </c>
    </row>
    <row r="15" spans="2:4" ht="20.399999999999999" customHeight="1" thickBot="1" x14ac:dyDescent="0.35"/>
    <row r="16" spans="2:4" ht="23.4" customHeight="1" thickBot="1" x14ac:dyDescent="0.35">
      <c r="B16" s="42" t="s">
        <v>2</v>
      </c>
      <c r="C16" s="43"/>
      <c r="D16" s="48"/>
    </row>
    <row r="17" spans="1:6" ht="19.8" customHeight="1" x14ac:dyDescent="0.3">
      <c r="B17" s="38" t="s">
        <v>3</v>
      </c>
      <c r="C17" s="39"/>
      <c r="D17" s="13">
        <v>500</v>
      </c>
    </row>
    <row r="18" spans="1:6" ht="20.399999999999999" customHeight="1" x14ac:dyDescent="0.3">
      <c r="B18" s="40" t="s">
        <v>0</v>
      </c>
      <c r="C18" s="41"/>
      <c r="D18" s="14">
        <v>50</v>
      </c>
    </row>
    <row r="19" spans="1:6" ht="15.6" x14ac:dyDescent="0.3">
      <c r="B19" s="40" t="s">
        <v>1</v>
      </c>
      <c r="C19" s="41"/>
      <c r="D19" s="15">
        <v>1.0800000000000001E-2</v>
      </c>
    </row>
    <row r="20" spans="1:6" ht="15.6" x14ac:dyDescent="0.3">
      <c r="B20" s="44" t="s">
        <v>4</v>
      </c>
      <c r="C20" s="45"/>
      <c r="D20" s="16">
        <f>FV(taxa_mensal,qtd_anos*12,aporte*-1)</f>
        <v>29106901.390810899</v>
      </c>
    </row>
    <row r="21" spans="1:6" ht="16.2" thickBot="1" x14ac:dyDescent="0.35">
      <c r="B21" s="46" t="s">
        <v>5</v>
      </c>
      <c r="C21" s="47"/>
      <c r="D21" s="17">
        <f>patrimonio*$D$13</f>
        <v>174641.4083448654</v>
      </c>
    </row>
    <row r="22" spans="1:6" ht="15" thickBot="1" x14ac:dyDescent="0.35"/>
    <row r="23" spans="1:6" ht="25.8" x14ac:dyDescent="0.3">
      <c r="B23" s="42" t="s">
        <v>11</v>
      </c>
      <c r="C23" s="43"/>
      <c r="D23" s="7" t="s">
        <v>15</v>
      </c>
    </row>
    <row r="24" spans="1:6" ht="15.6" x14ac:dyDescent="0.3">
      <c r="A24" s="2">
        <v>2</v>
      </c>
      <c r="B24" s="18" t="s">
        <v>6</v>
      </c>
      <c r="C24" s="19">
        <f>FV($D$19,$A24*12,$D$17*-1)</f>
        <v>13615.431830290796</v>
      </c>
      <c r="D24" s="20">
        <f>C24*rendimento_carteira</f>
        <v>81.692590981744772</v>
      </c>
      <c r="F24" s="3"/>
    </row>
    <row r="25" spans="1:6" ht="15.6" x14ac:dyDescent="0.3">
      <c r="A25" s="2">
        <v>5</v>
      </c>
      <c r="B25" s="21" t="s">
        <v>7</v>
      </c>
      <c r="C25" s="22">
        <f>FV($D$19,$A25*12,$D$17*-1)</f>
        <v>41902.00967962922</v>
      </c>
      <c r="D25" s="23">
        <f>C25*rendimento_carteira</f>
        <v>251.41205807777533</v>
      </c>
    </row>
    <row r="26" spans="1:6" ht="15.6" x14ac:dyDescent="0.3">
      <c r="A26" s="2">
        <v>10</v>
      </c>
      <c r="B26" s="21" t="s">
        <v>8</v>
      </c>
      <c r="C26" s="22">
        <f>FV($D$19,$A26*12,$D$17*-1)</f>
        <v>121728.83312740005</v>
      </c>
      <c r="D26" s="23">
        <f>C26*rendimento_carteira</f>
        <v>730.37299876440034</v>
      </c>
    </row>
    <row r="27" spans="1:6" ht="15.6" x14ac:dyDescent="0.3">
      <c r="A27" s="2">
        <v>20</v>
      </c>
      <c r="B27" s="21" t="s">
        <v>9</v>
      </c>
      <c r="C27" s="22">
        <f>FV($D$19,$A27*12,$D$17*-1)</f>
        <v>563524.49664926168</v>
      </c>
      <c r="D27" s="23">
        <f>C27*rendimento_carteira</f>
        <v>3381.14697989557</v>
      </c>
    </row>
    <row r="28" spans="1:6" ht="16.2" thickBot="1" x14ac:dyDescent="0.35">
      <c r="A28" s="2">
        <v>30</v>
      </c>
      <c r="B28" s="24" t="s">
        <v>10</v>
      </c>
      <c r="C28" s="25">
        <f>FV($D$19,$A28*12,$D$17*-1)</f>
        <v>2166952.4051583759</v>
      </c>
      <c r="D28" s="26">
        <f>C28*rendimento_carteira</f>
        <v>13001.714430950255</v>
      </c>
    </row>
    <row r="32" spans="1:6" x14ac:dyDescent="0.3">
      <c r="B32" s="10" t="s">
        <v>16</v>
      </c>
      <c r="C32" s="10" t="s">
        <v>31</v>
      </c>
      <c r="D32" s="11"/>
    </row>
    <row r="33" spans="2:4" x14ac:dyDescent="0.3">
      <c r="B33" s="30" t="s">
        <v>18</v>
      </c>
      <c r="C33" s="31">
        <f>aporte</f>
        <v>500</v>
      </c>
      <c r="D33" s="32"/>
    </row>
    <row r="35" spans="2:4" x14ac:dyDescent="0.3">
      <c r="B35" s="29" t="s">
        <v>19</v>
      </c>
      <c r="C35" s="29" t="s">
        <v>20</v>
      </c>
      <c r="D35" s="29" t="s">
        <v>21</v>
      </c>
    </row>
    <row r="36" spans="2:4" x14ac:dyDescent="0.3">
      <c r="B36" s="1" t="s">
        <v>22</v>
      </c>
      <c r="C36" s="4">
        <f>VLOOKUP($C$32&amp;"-"&amp;B36,Planilha2!$A$1:$D$20,4,)</f>
        <v>0.32</v>
      </c>
      <c r="D36" s="12">
        <f>C36*$C$33</f>
        <v>160</v>
      </c>
    </row>
    <row r="37" spans="2:4" x14ac:dyDescent="0.3">
      <c r="B37" s="1" t="s">
        <v>23</v>
      </c>
      <c r="C37" s="4">
        <f>VLOOKUP($C$32&amp;"-"&amp;B37,Planilha2!$A$1:$D$20,4,)</f>
        <v>0.35</v>
      </c>
      <c r="D37" s="12">
        <f t="shared" ref="D37:D41" si="0">C37*$C$33</f>
        <v>175</v>
      </c>
    </row>
    <row r="38" spans="2:4" x14ac:dyDescent="0.3">
      <c r="B38" s="1" t="s">
        <v>24</v>
      </c>
      <c r="C38" s="4">
        <f>VLOOKUP($C$32&amp;"-"&amp;B38,Planilha2!$A$1:$D$20,4,)</f>
        <v>0.08</v>
      </c>
      <c r="D38" s="12">
        <f t="shared" si="0"/>
        <v>40</v>
      </c>
    </row>
    <row r="39" spans="2:4" x14ac:dyDescent="0.3">
      <c r="B39" s="1" t="s">
        <v>25</v>
      </c>
      <c r="C39" s="4">
        <f>VLOOKUP($C$32&amp;"-"&amp;B39,Planilha2!$A$1:$D$20,4,)</f>
        <v>0.05</v>
      </c>
      <c r="D39" s="12">
        <f t="shared" si="0"/>
        <v>25</v>
      </c>
    </row>
    <row r="40" spans="2:4" x14ac:dyDescent="0.3">
      <c r="B40" s="1" t="s">
        <v>26</v>
      </c>
      <c r="C40" s="4">
        <f>VLOOKUP($C$32&amp;"-"&amp;B40,Planilha2!$A$1:$D$20,4,)</f>
        <v>0.1</v>
      </c>
      <c r="D40" s="12">
        <f t="shared" si="0"/>
        <v>50</v>
      </c>
    </row>
    <row r="41" spans="2:4" x14ac:dyDescent="0.3">
      <c r="B41" s="1" t="s">
        <v>27</v>
      </c>
      <c r="C41" s="4">
        <f>VLOOKUP($C$32&amp;"-"&amp;B41,Planilha2!$A$1:$D$20,4,)</f>
        <v>0.1</v>
      </c>
      <c r="D41" s="12">
        <f t="shared" si="0"/>
        <v>50</v>
      </c>
    </row>
    <row r="42" spans="2:4" x14ac:dyDescent="0.3">
      <c r="B42" s="27"/>
      <c r="C42" s="27"/>
      <c r="D42" s="28" t="b">
        <f>C36=SUM(D36:D41)</f>
        <v>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11">
    <mergeCell ref="B11:C11"/>
    <mergeCell ref="B17:C17"/>
    <mergeCell ref="B18:C18"/>
    <mergeCell ref="B23:C23"/>
    <mergeCell ref="B20:C20"/>
    <mergeCell ref="B21:C21"/>
    <mergeCell ref="B16:D16"/>
    <mergeCell ref="B12:C12"/>
    <mergeCell ref="B13:C13"/>
    <mergeCell ref="B14:C14"/>
    <mergeCell ref="B19:C19"/>
  </mergeCells>
  <dataValidations count="1">
    <dataValidation type="list" allowBlank="1" showInputMessage="1" showErrorMessage="1" sqref="C32" xr:uid="{45AFE16E-980B-4D4C-8B85-AF772F31464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7331-1CCE-4D63-8114-39610D042008}">
  <dimension ref="A2:D20"/>
  <sheetViews>
    <sheetView workbookViewId="0">
      <selection activeCell="D14" sqref="D14"/>
    </sheetView>
  </sheetViews>
  <sheetFormatPr defaultRowHeight="14.4" x14ac:dyDescent="0.3"/>
  <cols>
    <col min="1" max="1" width="32.109375" bestFit="1" customWidth="1"/>
    <col min="2" max="2" width="14" bestFit="1" customWidth="1"/>
    <col min="3" max="3" width="18.33203125" customWidth="1"/>
  </cols>
  <sheetData>
    <row r="2" spans="1:4" x14ac:dyDescent="0.3">
      <c r="A2" t="s">
        <v>30</v>
      </c>
      <c r="B2" t="s">
        <v>16</v>
      </c>
      <c r="C2" s="1" t="s">
        <v>19</v>
      </c>
      <c r="D2" s="1" t="s">
        <v>29</v>
      </c>
    </row>
    <row r="3" spans="1:4" x14ac:dyDescent="0.3">
      <c r="A3" t="str">
        <f>B3&amp;"-"&amp;C3</f>
        <v>CONSERVADOR-PAPEL</v>
      </c>
      <c r="B3" t="s">
        <v>28</v>
      </c>
      <c r="C3" s="1" t="s">
        <v>22</v>
      </c>
      <c r="D3" s="4">
        <v>0.3</v>
      </c>
    </row>
    <row r="4" spans="1:4" x14ac:dyDescent="0.3">
      <c r="A4" t="str">
        <f t="shared" ref="A4:A20" si="0">B4&amp;"-"&amp;C4</f>
        <v>CONSERVADOR-TIJOLO</v>
      </c>
      <c r="B4" t="s">
        <v>28</v>
      </c>
      <c r="C4" s="1" t="s">
        <v>23</v>
      </c>
      <c r="D4" s="4">
        <v>0.5</v>
      </c>
    </row>
    <row r="5" spans="1:4" x14ac:dyDescent="0.3">
      <c r="A5" t="str">
        <f t="shared" si="0"/>
        <v>CONSERVADOR-HIBRÍDOS</v>
      </c>
      <c r="B5" t="s">
        <v>28</v>
      </c>
      <c r="C5" s="1" t="s">
        <v>24</v>
      </c>
      <c r="D5" s="4">
        <v>0.1</v>
      </c>
    </row>
    <row r="6" spans="1:4" x14ac:dyDescent="0.3">
      <c r="A6" t="str">
        <f t="shared" si="0"/>
        <v>CONSERVADOR-FOFs</v>
      </c>
      <c r="B6" t="s">
        <v>28</v>
      </c>
      <c r="C6" s="1" t="s">
        <v>25</v>
      </c>
      <c r="D6" s="4">
        <v>0.1</v>
      </c>
    </row>
    <row r="7" spans="1:4" x14ac:dyDescent="0.3">
      <c r="A7" t="str">
        <f t="shared" si="0"/>
        <v>CONSERVADOR-DESENVOLVIMENTO</v>
      </c>
      <c r="B7" t="s">
        <v>28</v>
      </c>
      <c r="C7" s="1" t="s">
        <v>26</v>
      </c>
      <c r="D7" s="4">
        <v>0</v>
      </c>
    </row>
    <row r="8" spans="1:4" ht="15" thickBot="1" x14ac:dyDescent="0.35">
      <c r="A8" s="33" t="str">
        <f t="shared" si="0"/>
        <v>CONSERVADOR-HOTELARIAS</v>
      </c>
      <c r="B8" s="33" t="s">
        <v>28</v>
      </c>
      <c r="C8" s="34" t="s">
        <v>27</v>
      </c>
      <c r="D8" s="35">
        <v>0</v>
      </c>
    </row>
    <row r="9" spans="1:4" x14ac:dyDescent="0.3">
      <c r="A9" t="str">
        <f t="shared" si="0"/>
        <v>MODERADO-PAPEL</v>
      </c>
      <c r="B9" s="1" t="s">
        <v>31</v>
      </c>
      <c r="C9" s="1" t="s">
        <v>22</v>
      </c>
      <c r="D9" s="4">
        <v>0.32</v>
      </c>
    </row>
    <row r="10" spans="1:4" x14ac:dyDescent="0.3">
      <c r="A10" t="str">
        <f t="shared" si="0"/>
        <v>MODERADO-TIJOLO</v>
      </c>
      <c r="B10" s="1" t="s">
        <v>31</v>
      </c>
      <c r="C10" s="1" t="s">
        <v>23</v>
      </c>
      <c r="D10" s="4">
        <v>0.35</v>
      </c>
    </row>
    <row r="11" spans="1:4" x14ac:dyDescent="0.3">
      <c r="A11" t="str">
        <f t="shared" si="0"/>
        <v>MODERADO-HIBRÍDOS</v>
      </c>
      <c r="B11" s="1" t="s">
        <v>31</v>
      </c>
      <c r="C11" s="1" t="s">
        <v>24</v>
      </c>
      <c r="D11" s="4">
        <v>0.08</v>
      </c>
    </row>
    <row r="12" spans="1:4" x14ac:dyDescent="0.3">
      <c r="A12" t="str">
        <f t="shared" si="0"/>
        <v>MODERADO-FOFs</v>
      </c>
      <c r="B12" s="1" t="s">
        <v>31</v>
      </c>
      <c r="C12" s="1" t="s">
        <v>25</v>
      </c>
      <c r="D12" s="4">
        <v>0.05</v>
      </c>
    </row>
    <row r="13" spans="1:4" x14ac:dyDescent="0.3">
      <c r="A13" t="str">
        <f t="shared" si="0"/>
        <v>MODERADO-DESENVOLVIMENTO</v>
      </c>
      <c r="B13" s="1" t="s">
        <v>31</v>
      </c>
      <c r="C13" s="1" t="s">
        <v>26</v>
      </c>
      <c r="D13" s="4">
        <v>0.1</v>
      </c>
    </row>
    <row r="14" spans="1:4" ht="15" thickBot="1" x14ac:dyDescent="0.35">
      <c r="A14" s="33" t="str">
        <f t="shared" si="0"/>
        <v>MODERADO-HOTELARIAS</v>
      </c>
      <c r="B14" s="34" t="s">
        <v>31</v>
      </c>
      <c r="C14" s="34" t="s">
        <v>27</v>
      </c>
      <c r="D14" s="35">
        <v>0.1</v>
      </c>
    </row>
    <row r="15" spans="1:4" x14ac:dyDescent="0.3">
      <c r="A15" t="str">
        <f t="shared" si="0"/>
        <v>AGRESSIVO-PAPEL</v>
      </c>
      <c r="B15" s="1" t="s">
        <v>17</v>
      </c>
      <c r="C15" s="1" t="s">
        <v>22</v>
      </c>
      <c r="D15" s="4">
        <v>0.5</v>
      </c>
    </row>
    <row r="16" spans="1:4" x14ac:dyDescent="0.3">
      <c r="A16" t="str">
        <f t="shared" si="0"/>
        <v>AGRESSIVO-TIJOLO</v>
      </c>
      <c r="B16" s="1" t="s">
        <v>17</v>
      </c>
      <c r="C16" s="1" t="s">
        <v>23</v>
      </c>
      <c r="D16" s="4">
        <v>0.1</v>
      </c>
    </row>
    <row r="17" spans="1:4" x14ac:dyDescent="0.3">
      <c r="A17" t="str">
        <f t="shared" si="0"/>
        <v>AGRESSIVO-HIBRÍDOS</v>
      </c>
      <c r="B17" s="1" t="s">
        <v>17</v>
      </c>
      <c r="C17" s="1" t="s">
        <v>24</v>
      </c>
      <c r="D17" s="4">
        <v>0.05</v>
      </c>
    </row>
    <row r="18" spans="1:4" x14ac:dyDescent="0.3">
      <c r="A18" t="str">
        <f t="shared" si="0"/>
        <v>AGRESSIVO-FOFs</v>
      </c>
      <c r="B18" s="1" t="s">
        <v>17</v>
      </c>
      <c r="C18" s="1" t="s">
        <v>25</v>
      </c>
      <c r="D18" s="4">
        <v>0.05</v>
      </c>
    </row>
    <row r="19" spans="1:4" x14ac:dyDescent="0.3">
      <c r="A19" t="str">
        <f t="shared" si="0"/>
        <v>AGRESSIVO-DESENVOLVIMENTO</v>
      </c>
      <c r="B19" s="1" t="s">
        <v>17</v>
      </c>
      <c r="C19" s="1" t="s">
        <v>26</v>
      </c>
      <c r="D19" s="4">
        <v>0.2</v>
      </c>
    </row>
    <row r="20" spans="1:4" x14ac:dyDescent="0.3">
      <c r="A20" t="str">
        <f t="shared" si="0"/>
        <v>AGRESSIVO-HOTELARIAS</v>
      </c>
      <c r="B20" s="1" t="s">
        <v>17</v>
      </c>
      <c r="C20" s="1" t="s">
        <v>27</v>
      </c>
      <c r="D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Sobrinho</dc:creator>
  <cp:lastModifiedBy>Victor Sobrinho</cp:lastModifiedBy>
  <dcterms:created xsi:type="dcterms:W3CDTF">2026-09-25T14:51:26Z</dcterms:created>
  <dcterms:modified xsi:type="dcterms:W3CDTF">2026-09-25T20:29:41Z</dcterms:modified>
</cp:coreProperties>
</file>